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20955" windowHeight="97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7" i="1"/>
  <c r="D7"/>
  <c r="E7" s="1"/>
  <c r="I6"/>
  <c r="D6"/>
  <c r="E6" s="1"/>
  <c r="I5"/>
  <c r="D5"/>
  <c r="E5" s="1"/>
  <c r="I4"/>
  <c r="E4"/>
  <c r="D4"/>
  <c r="G4" s="1"/>
  <c r="H4" s="1"/>
  <c r="I3"/>
  <c r="D3"/>
  <c r="E3" s="1"/>
  <c r="D2"/>
  <c r="I2"/>
  <c r="G2"/>
  <c r="H2" s="1"/>
  <c r="G7" l="1"/>
  <c r="H7" s="1"/>
  <c r="G6"/>
  <c r="H6" s="1"/>
  <c r="G5"/>
  <c r="H5" s="1"/>
  <c r="G3"/>
  <c r="H3" s="1"/>
  <c r="E2"/>
</calcChain>
</file>

<file path=xl/sharedStrings.xml><?xml version="1.0" encoding="utf-8"?>
<sst xmlns="http://schemas.openxmlformats.org/spreadsheetml/2006/main" count="9" uniqueCount="9">
  <si>
    <t>OUT[HZ]</t>
  </si>
  <si>
    <t>DIVIDER</t>
  </si>
  <si>
    <t>PRESCALER</t>
  </si>
  <si>
    <t>PCLK[HZ]</t>
  </si>
  <si>
    <t>OUTi</t>
  </si>
  <si>
    <t>PREINT</t>
  </si>
  <si>
    <t>PREFRAC</t>
  </si>
  <si>
    <t>PREFRAC HEX</t>
  </si>
  <si>
    <t>PREINT HEX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</si>
</sst>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I6" sqref="I6"/>
    </sheetView>
  </sheetViews>
  <sheetFormatPr defaultRowHeight="15"/>
  <cols>
    <col min="1" max="1" width="9.140625" style="1"/>
    <col min="2" max="2" width="11.42578125" customWidth="1"/>
    <col min="3" max="3" width="9.140625" style="1"/>
    <col min="4" max="4" width="14.85546875" style="1" customWidth="1"/>
    <col min="5" max="5" width="15.5703125" style="1" customWidth="1"/>
    <col min="7" max="7" width="11.85546875" customWidth="1"/>
    <col min="8" max="8" width="12.42578125" style="1" customWidth="1"/>
    <col min="9" max="9" width="12" style="1" customWidth="1"/>
  </cols>
  <sheetData>
    <row r="1" spans="1:9">
      <c r="A1" s="1" t="s">
        <v>0</v>
      </c>
      <c r="B1" t="s">
        <v>3</v>
      </c>
      <c r="C1" s="1" t="s">
        <v>1</v>
      </c>
      <c r="D1" s="1" t="s">
        <v>4</v>
      </c>
      <c r="E1" s="1" t="s">
        <v>2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1">
        <v>10</v>
      </c>
      <c r="B2">
        <v>36000000</v>
      </c>
      <c r="C2" s="1">
        <v>2048</v>
      </c>
      <c r="D2" s="1">
        <f>A2/(32768/C2)</f>
        <v>0.625</v>
      </c>
      <c r="E2" s="3">
        <f>B2/(32768*D2)</f>
        <v>1757.8125</v>
      </c>
      <c r="F2" s="3">
        <v>1756</v>
      </c>
      <c r="G2">
        <f>B2-(F2+1)*D2*32768</f>
        <v>16640</v>
      </c>
      <c r="H2" s="2" t="str">
        <f>DEC2HEX(G2)</f>
        <v>4100</v>
      </c>
      <c r="I2" s="2" t="str">
        <f>DEC2HEX(F2)</f>
        <v>6DC</v>
      </c>
    </row>
    <row r="3" spans="1:9">
      <c r="A3" s="1">
        <v>10</v>
      </c>
      <c r="B3">
        <v>18000000</v>
      </c>
      <c r="C3" s="1">
        <v>2048</v>
      </c>
      <c r="D3" s="1">
        <f>A3/(32768/C3)</f>
        <v>0.625</v>
      </c>
      <c r="E3" s="3">
        <f>B3/(32768*D3)</f>
        <v>878.90625</v>
      </c>
      <c r="F3" s="3">
        <v>877</v>
      </c>
      <c r="G3">
        <f>B3-(F3+1)*D3*32768</f>
        <v>18560</v>
      </c>
      <c r="H3" s="2" t="str">
        <f>DEC2HEX(G3)</f>
        <v>4880</v>
      </c>
      <c r="I3" s="2" t="str">
        <f>DEC2HEX(F3)</f>
        <v>36D</v>
      </c>
    </row>
    <row r="4" spans="1:9">
      <c r="A4" s="1">
        <v>10</v>
      </c>
      <c r="B4">
        <v>36000000</v>
      </c>
      <c r="C4" s="1">
        <v>1024</v>
      </c>
      <c r="D4" s="1">
        <f>A4/(32768/C4)</f>
        <v>0.3125</v>
      </c>
      <c r="E4" s="3">
        <f>B4/(32768*D4)</f>
        <v>3515.625</v>
      </c>
      <c r="F4" s="3">
        <v>3514</v>
      </c>
      <c r="G4">
        <f>B4-(F4+1)*D4*32768</f>
        <v>6400</v>
      </c>
      <c r="H4" s="2" t="str">
        <f>DEC2HEX(G4)</f>
        <v>1900</v>
      </c>
      <c r="I4" s="2" t="str">
        <f>DEC2HEX(F4)</f>
        <v>DBA</v>
      </c>
    </row>
    <row r="5" spans="1:9">
      <c r="A5" s="1">
        <v>10</v>
      </c>
      <c r="B5">
        <v>18000000</v>
      </c>
      <c r="C5" s="1">
        <v>1024</v>
      </c>
      <c r="D5" s="1">
        <f>A5/(32768/C5)</f>
        <v>0.3125</v>
      </c>
      <c r="E5" s="3">
        <f>B5/(32768*D5)</f>
        <v>1757.8125</v>
      </c>
      <c r="F5" s="3">
        <v>1756</v>
      </c>
      <c r="G5">
        <f>B5-(F5+1)*D5*32768</f>
        <v>8320</v>
      </c>
      <c r="H5" s="2" t="str">
        <f>DEC2HEX(G5)</f>
        <v>2080</v>
      </c>
      <c r="I5" s="2" t="str">
        <f>DEC2HEX(F5)</f>
        <v>6DC</v>
      </c>
    </row>
    <row r="6" spans="1:9">
      <c r="A6" s="1">
        <v>10</v>
      </c>
      <c r="B6">
        <v>2000000</v>
      </c>
      <c r="C6" s="1">
        <v>1024</v>
      </c>
      <c r="D6" s="1">
        <f>A6/(32768/C6)</f>
        <v>0.3125</v>
      </c>
      <c r="E6" s="3">
        <f>B6/(32768*D6)</f>
        <v>195.3125</v>
      </c>
      <c r="F6" s="3">
        <v>194</v>
      </c>
      <c r="G6">
        <f>B6-(F6+1)*D6*32768</f>
        <v>3200</v>
      </c>
      <c r="H6" s="2" t="str">
        <f>DEC2HEX(G6)</f>
        <v>C80</v>
      </c>
      <c r="I6" s="2" t="str">
        <f>DEC2HEX(F6)</f>
        <v>C2</v>
      </c>
    </row>
    <row r="7" spans="1:9">
      <c r="A7" s="1">
        <v>10</v>
      </c>
      <c r="B7">
        <v>1000000</v>
      </c>
      <c r="C7" s="1">
        <v>1024</v>
      </c>
      <c r="D7" s="1">
        <f>A7/(32768/C7)</f>
        <v>0.3125</v>
      </c>
      <c r="E7" s="3">
        <f>B7/(32768*D7)</f>
        <v>97.65625</v>
      </c>
      <c r="F7" s="3">
        <v>96</v>
      </c>
      <c r="G7">
        <f>B7-(F7+1)*D7*32768</f>
        <v>6720</v>
      </c>
      <c r="H7" s="2" t="str">
        <f>DEC2HEX(G7)</f>
        <v>1A40</v>
      </c>
      <c r="I7" s="2" t="str">
        <f>DEC2HEX(F7)</f>
        <v>60</v>
      </c>
    </row>
    <row r="8" spans="1:9">
      <c r="F8" s="1"/>
    </row>
    <row r="9" spans="1:9">
      <c r="F9" s="1"/>
    </row>
    <row r="10" spans="1:9">
      <c r="F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Directed Electronics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Florin.Olariu</dc:creator>
  <cp:lastModifiedBy>Florin.Olariu</cp:lastModifiedBy>
  <dcterms:created xsi:type="dcterms:W3CDTF">2010-05-13T20:32:20Z</dcterms:created>
  <dcterms:modified xsi:type="dcterms:W3CDTF">2010-05-14T09:28:29Z</dcterms:modified>
</cp:coreProperties>
</file>